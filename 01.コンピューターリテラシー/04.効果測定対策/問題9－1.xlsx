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効果測定対策\"/>
    </mc:Choice>
  </mc:AlternateContent>
  <xr:revisionPtr revIDLastSave="0" documentId="8_{F9D518E9-69CB-479D-85FB-3A3ACA94D419}" xr6:coauthVersionLast="47" xr6:coauthVersionMax="47" xr10:uidLastSave="{00000000-0000-0000-0000-000000000000}"/>
  <bookViews>
    <workbookView xWindow="-108" yWindow="-108" windowWidth="23256" windowHeight="12456" xr2:uid="{05697002-75E1-4C4D-8316-112C6F4BD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C10" i="1"/>
  <c r="D10" i="1"/>
  <c r="E10" i="1"/>
  <c r="B10" i="1"/>
  <c r="G5" i="1"/>
  <c r="G6" i="1"/>
  <c r="G7" i="1"/>
  <c r="G8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<sst xmlns="http://schemas.openxmlformats.org/spreadsheetml/2006/main" count="15" uniqueCount="15">
  <si>
    <t>学園祭売上集計</t>
    <rPh sb="0" eb="3">
      <t>ガクエンサイ</t>
    </rPh>
    <rPh sb="3" eb="5">
      <t>ウリアゲ</t>
    </rPh>
    <rPh sb="5" eb="7">
      <t>シュウケイ</t>
    </rPh>
    <phoneticPr fontId="2"/>
  </si>
  <si>
    <t>催し</t>
    <rPh sb="0" eb="1">
      <t>モヨオ</t>
    </rPh>
    <phoneticPr fontId="2"/>
  </si>
  <si>
    <t>1日目</t>
    <rPh sb="1" eb="3">
      <t>ニチメ</t>
    </rPh>
    <phoneticPr fontId="2"/>
  </si>
  <si>
    <t>2日目</t>
    <rPh sb="1" eb="3">
      <t>ニチメ</t>
    </rPh>
    <phoneticPr fontId="2"/>
  </si>
  <si>
    <t>3日目</t>
    <rPh sb="1" eb="3">
      <t>ニチメ</t>
    </rPh>
    <phoneticPr fontId="2"/>
  </si>
  <si>
    <t>展示即売</t>
    <rPh sb="0" eb="4">
      <t>テンジソクバイ</t>
    </rPh>
    <phoneticPr fontId="2"/>
  </si>
  <si>
    <t>カフェ</t>
    <phoneticPr fontId="2"/>
  </si>
  <si>
    <t>屋台</t>
    <rPh sb="0" eb="2">
      <t>ヤタイ</t>
    </rPh>
    <phoneticPr fontId="2"/>
  </si>
  <si>
    <t>茶席</t>
    <rPh sb="0" eb="2">
      <t>チャセキ</t>
    </rPh>
    <phoneticPr fontId="2"/>
  </si>
  <si>
    <t>バザー</t>
    <phoneticPr fontId="2"/>
  </si>
  <si>
    <t>合計</t>
    <rPh sb="0" eb="2">
      <t>ゴウケイ</t>
    </rPh>
    <phoneticPr fontId="2"/>
  </si>
  <si>
    <t>売上目標</t>
    <rPh sb="0" eb="2">
      <t>ウリアゲ</t>
    </rPh>
    <rPh sb="2" eb="4">
      <t>モクヒョウ</t>
    </rPh>
    <phoneticPr fontId="2"/>
  </si>
  <si>
    <t>差額</t>
    <rPh sb="0" eb="2">
      <t>サガク</t>
    </rPh>
    <phoneticPr fontId="2"/>
  </si>
  <si>
    <t>作成日:</t>
    <rPh sb="0" eb="3">
      <t>サクセイビ</t>
    </rPh>
    <phoneticPr fontId="2"/>
  </si>
  <si>
    <t>売上合計</t>
    <rPh sb="0" eb="4">
      <t>ウリアゲゴウケイ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</si>
</sst>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HGPｺﾞｼｯｸ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38" fontId="0" fillId="0" borderId="3" xfId="1" applyFont="1" applyBorder="1">
      <alignment vertical="center"/>
    </xf>
    <xf numFmtId="38" fontId="0" fillId="0" borderId="1" xfId="1" applyFont="1" applyBorder="1">
      <alignment vertical="center"/>
    </xf>
    <xf numFmtId="38" fontId="0" fillId="0" borderId="0" xfId="1" applyFont="1">
      <alignment vertical="center"/>
    </xf>
    <xf numFmtId="38" fontId="0" fillId="2" borderId="1" xfId="1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C23D-A4F1-4B08-9D69-9F3D67E40470}">
  <dimension ref="A1:G10"/>
  <sheetViews>
    <sheetView tabSelected="1" workbookViewId="0">
      <selection activeCell="I6" sqref="I6"/>
    </sheetView>
  </sheetViews>
  <sheetFormatPr defaultRowHeight="18" x14ac:dyDescent="0.45"/>
  <sheetData>
    <row r="1" spans="1:7" ht="19.2" x14ac:dyDescent="0.45">
      <c r="A1" s="2" t="s">
        <v>0</v>
      </c>
    </row>
    <row r="2" spans="1:7" x14ac:dyDescent="0.45">
      <c r="F2" t="s">
        <v>13</v>
      </c>
      <c r="G2" s="1">
        <v>45969</v>
      </c>
    </row>
    <row r="3" spans="1:7" ht="18.600000000000001" thickBot="1" x14ac:dyDescent="0.5">
      <c r="A3" s="9" t="s">
        <v>1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11</v>
      </c>
      <c r="G3" s="10" t="s">
        <v>12</v>
      </c>
    </row>
    <row r="4" spans="1:7" x14ac:dyDescent="0.45">
      <c r="A4" s="4" t="s">
        <v>5</v>
      </c>
      <c r="B4" s="5">
        <v>24600</v>
      </c>
      <c r="C4" s="5">
        <v>28400</v>
      </c>
      <c r="D4" s="5">
        <v>30200</v>
      </c>
      <c r="E4" s="5">
        <f>SUM(B4:D4)</f>
        <v>83200</v>
      </c>
      <c r="F4" s="5">
        <v>80000</v>
      </c>
      <c r="G4" s="6">
        <f>F4-E4</f>
        <v>-3200</v>
      </c>
    </row>
    <row r="5" spans="1:7" x14ac:dyDescent="0.45">
      <c r="A5" s="3" t="s">
        <v>6</v>
      </c>
      <c r="B5" s="6">
        <v>11500</v>
      </c>
      <c r="C5" s="6">
        <v>13200</v>
      </c>
      <c r="D5" s="6">
        <v>13700</v>
      </c>
      <c r="E5" s="6">
        <f t="shared" ref="E5:E8" si="0">SUM(B5:D5)</f>
        <v>38400</v>
      </c>
      <c r="F5" s="6">
        <v>30000</v>
      </c>
      <c r="G5" s="6">
        <f t="shared" ref="G5:G8" si="1">F5-E5</f>
        <v>-8400</v>
      </c>
    </row>
    <row r="6" spans="1:7" x14ac:dyDescent="0.45">
      <c r="A6" s="3" t="s">
        <v>7</v>
      </c>
      <c r="B6" s="6">
        <v>8600</v>
      </c>
      <c r="C6" s="6">
        <v>8200</v>
      </c>
      <c r="D6" s="6">
        <v>7900</v>
      </c>
      <c r="E6" s="6">
        <f t="shared" si="0"/>
        <v>24700</v>
      </c>
      <c r="F6" s="6">
        <v>25000</v>
      </c>
      <c r="G6" s="6">
        <f t="shared" si="1"/>
        <v>300</v>
      </c>
    </row>
    <row r="7" spans="1:7" x14ac:dyDescent="0.45">
      <c r="A7" s="3" t="s">
        <v>8</v>
      </c>
      <c r="B7" s="6">
        <v>4000</v>
      </c>
      <c r="C7" s="6">
        <v>4600</v>
      </c>
      <c r="D7" s="6">
        <v>3800</v>
      </c>
      <c r="E7" s="6">
        <f t="shared" si="0"/>
        <v>12400</v>
      </c>
      <c r="F7" s="6">
        <v>12000</v>
      </c>
      <c r="G7" s="6">
        <f t="shared" si="1"/>
        <v>-400</v>
      </c>
    </row>
    <row r="8" spans="1:7" x14ac:dyDescent="0.45">
      <c r="A8" s="3" t="s">
        <v>9</v>
      </c>
      <c r="B8" s="6">
        <v>7800</v>
      </c>
      <c r="C8" s="6">
        <v>8500</v>
      </c>
      <c r="D8" s="6">
        <v>6900</v>
      </c>
      <c r="E8" s="6">
        <f t="shared" si="0"/>
        <v>23200</v>
      </c>
      <c r="F8" s="6">
        <v>30000</v>
      </c>
      <c r="G8" s="6">
        <f t="shared" si="1"/>
        <v>6800</v>
      </c>
    </row>
    <row r="9" spans="1:7" x14ac:dyDescent="0.45">
      <c r="B9" s="7"/>
      <c r="C9" s="7"/>
      <c r="D9" s="7"/>
      <c r="E9" s="7"/>
      <c r="F9" s="7"/>
      <c r="G9" s="7"/>
    </row>
    <row r="10" spans="1:7" x14ac:dyDescent="0.45">
      <c r="A10" s="11" t="s">
        <v>14</v>
      </c>
      <c r="B10" s="8">
        <f>SUM(B4:B9)</f>
        <v>56500</v>
      </c>
      <c r="C10" s="8">
        <f t="shared" ref="C10:E10" si="2">SUM(C4:C9)</f>
        <v>62900</v>
      </c>
      <c r="D10" s="8">
        <f t="shared" si="2"/>
        <v>62500</v>
      </c>
      <c r="E10" s="8">
        <f t="shared" si="2"/>
        <v>181900</v>
      </c>
      <c r="F10" s="7"/>
      <c r="G10" s="7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2025-04-22T02:21:19Z</dcterms:created>
  <dcterms:modified xsi:type="dcterms:W3CDTF">2025-04-22T02:30:43Z</dcterms:modified>
</cp:coreProperties>
</file>