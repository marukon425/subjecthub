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_maruyama\Desktop\授業科目\01.コンピューターリテラシー\02.問題演習\exel\"/>
    </mc:Choice>
  </mc:AlternateContent>
  <xr:revisionPtr revIDLastSave="0" documentId="8_{936D263C-FD20-4982-A2CF-B3FC5519091E}" xr6:coauthVersionLast="47" xr6:coauthVersionMax="47" xr10:uidLastSave="{00000000-0000-0000-0000-000000000000}"/>
  <bookViews>
    <workbookView xWindow="-108" yWindow="-108" windowWidth="23256" windowHeight="12456" xr2:uid="{AF699405-FF69-4ECA-8913-DB1B350361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D12" i="1"/>
  <c r="D13" i="1"/>
  <c r="D14" i="1"/>
  <c r="D15" i="1"/>
  <c r="D16" i="1"/>
  <c r="D17" i="1"/>
  <c r="D11" i="1"/>
  <c r="B18" i="1"/>
  <c r="B19" i="1" s="1"/>
  <c r="C16" i="1" l="1"/>
  <c r="C22" i="1"/>
  <c r="C19" i="1"/>
  <c r="C15" i="1"/>
  <c r="C13" i="1"/>
  <c r="C14" i="1"/>
  <c r="C17" i="1"/>
  <c r="C18" i="1"/>
  <c r="C12" i="1"/>
  <c r="B20" i="1"/>
  <c r="D19" i="1"/>
  <c r="B22" i="1"/>
  <c r="D18" i="1"/>
  <c r="C11" i="1"/>
</calcChain>
</file>

<file path=xl/sharedStrings.xml><?xml version="1.0" encoding="utf-8"?>
<sst xmlns="http://schemas.openxmlformats.org/spreadsheetml/2006/main" count="23" uniqueCount="21">
  <si>
    <t>子図解管理表</t>
    <rPh sb="0" eb="3">
      <t>コズカイ</t>
    </rPh>
    <rPh sb="3" eb="6">
      <t>カンリヒョウ</t>
    </rPh>
    <phoneticPr fontId="2"/>
  </si>
  <si>
    <t>&lt;収入&gt;</t>
    <rPh sb="1" eb="3">
      <t>シュウニュウ</t>
    </rPh>
    <phoneticPr fontId="2"/>
  </si>
  <si>
    <t>項目</t>
    <rPh sb="0" eb="2">
      <t>コウモク</t>
    </rPh>
    <phoneticPr fontId="2"/>
  </si>
  <si>
    <t>アルバイト</t>
    <phoneticPr fontId="2"/>
  </si>
  <si>
    <t>収入の計</t>
    <rPh sb="0" eb="2">
      <t>シュウニュウ</t>
    </rPh>
    <rPh sb="3" eb="4">
      <t>ケイ</t>
    </rPh>
    <phoneticPr fontId="2"/>
  </si>
  <si>
    <t>&lt;支出&gt;</t>
    <rPh sb="1" eb="3">
      <t>シシュツ</t>
    </rPh>
    <phoneticPr fontId="2"/>
  </si>
  <si>
    <t>飲食費</t>
    <rPh sb="0" eb="3">
      <t>インショクヒ</t>
    </rPh>
    <phoneticPr fontId="2"/>
  </si>
  <si>
    <t>携帯電話代</t>
    <rPh sb="0" eb="4">
      <t>ケイタイデンワ</t>
    </rPh>
    <rPh sb="4" eb="5">
      <t>ダイ</t>
    </rPh>
    <phoneticPr fontId="2"/>
  </si>
  <si>
    <t>交際費</t>
    <rPh sb="0" eb="3">
      <t>コウサイヒ</t>
    </rPh>
    <phoneticPr fontId="2"/>
  </si>
  <si>
    <t>学用品</t>
    <rPh sb="0" eb="3">
      <t>ガクヨウヒン</t>
    </rPh>
    <phoneticPr fontId="2"/>
  </si>
  <si>
    <t>書籍大</t>
    <rPh sb="0" eb="2">
      <t>ショセキ</t>
    </rPh>
    <rPh sb="2" eb="3">
      <t>ダイ</t>
    </rPh>
    <phoneticPr fontId="2"/>
  </si>
  <si>
    <t>被服費</t>
    <rPh sb="0" eb="2">
      <t>ヒフク</t>
    </rPh>
    <rPh sb="2" eb="3">
      <t>ヒ</t>
    </rPh>
    <phoneticPr fontId="2"/>
  </si>
  <si>
    <t>雑費</t>
    <rPh sb="0" eb="2">
      <t>ザッピ</t>
    </rPh>
    <phoneticPr fontId="2"/>
  </si>
  <si>
    <t>貯金(収入の15％)</t>
    <rPh sb="0" eb="2">
      <t>チョキン</t>
    </rPh>
    <rPh sb="3" eb="5">
      <t>シュウニュウ</t>
    </rPh>
    <phoneticPr fontId="2"/>
  </si>
  <si>
    <t>支出の計</t>
    <rPh sb="0" eb="2">
      <t>シシュツ</t>
    </rPh>
    <rPh sb="3" eb="4">
      <t>ケイ</t>
    </rPh>
    <phoneticPr fontId="2"/>
  </si>
  <si>
    <t>平均金額</t>
    <rPh sb="0" eb="4">
      <t>ヘイキンキンガク</t>
    </rPh>
    <phoneticPr fontId="2"/>
  </si>
  <si>
    <t>差し引き金額</t>
    <rPh sb="0" eb="1">
      <t>サ</t>
    </rPh>
    <rPh sb="2" eb="3">
      <t>ヒ</t>
    </rPh>
    <rPh sb="4" eb="6">
      <t>キンガク</t>
    </rPh>
    <phoneticPr fontId="2"/>
  </si>
  <si>
    <t>金額</t>
    <rPh sb="0" eb="2">
      <t>キンガク</t>
    </rPh>
    <phoneticPr fontId="2"/>
  </si>
  <si>
    <t>構成比</t>
    <rPh sb="0" eb="2">
      <t>コウセイ</t>
    </rPh>
    <rPh sb="2" eb="3">
      <t>ヒ</t>
    </rPh>
    <phoneticPr fontId="2"/>
  </si>
  <si>
    <t>来月予算</t>
    <rPh sb="0" eb="2">
      <t>ライゲツ</t>
    </rPh>
    <rPh sb="2" eb="4">
      <t>ヨサン</t>
    </rPh>
    <phoneticPr fontId="2"/>
  </si>
  <si>
    <t>臨時収入</t>
    <rPh sb="0" eb="2">
      <t>リンジ</t>
    </rPh>
    <rPh sb="2" eb="4">
      <t>シュウニュウ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</si>
</sst>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%"/>
  </numFmts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179" fontId="0" fillId="0" borderId="1" xfId="1" applyNumberFormat="1" applyFont="1" applyBorder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1963-24C2-4CE3-8491-928323060B94}">
  <dimension ref="A1:D22"/>
  <sheetViews>
    <sheetView tabSelected="1" topLeftCell="A7" workbookViewId="0">
      <selection activeCell="D9" sqref="D9"/>
    </sheetView>
  </sheetViews>
  <sheetFormatPr defaultRowHeight="18" x14ac:dyDescent="0.45"/>
  <cols>
    <col min="1" max="1" width="16.09765625" bestFit="1" customWidth="1"/>
  </cols>
  <sheetData>
    <row r="1" spans="1:4" x14ac:dyDescent="0.45">
      <c r="A1" t="s">
        <v>0</v>
      </c>
    </row>
    <row r="3" spans="1:4" x14ac:dyDescent="0.45">
      <c r="A3" s="1" t="s">
        <v>1</v>
      </c>
    </row>
    <row r="4" spans="1:4" x14ac:dyDescent="0.45">
      <c r="A4" s="1" t="s">
        <v>2</v>
      </c>
      <c r="B4" s="1" t="s">
        <v>17</v>
      </c>
    </row>
    <row r="5" spans="1:4" x14ac:dyDescent="0.45">
      <c r="A5" s="1" t="s">
        <v>3</v>
      </c>
      <c r="B5" s="1">
        <v>68000</v>
      </c>
    </row>
    <row r="6" spans="1:4" x14ac:dyDescent="0.45">
      <c r="A6" s="1" t="s">
        <v>20</v>
      </c>
      <c r="B6" s="1">
        <v>10000</v>
      </c>
    </row>
    <row r="7" spans="1:4" x14ac:dyDescent="0.45">
      <c r="A7" s="1" t="s">
        <v>4</v>
      </c>
      <c r="B7" s="1">
        <f>SUM(B5:B6)</f>
        <v>78000</v>
      </c>
    </row>
    <row r="9" spans="1:4" x14ac:dyDescent="0.45">
      <c r="A9" s="1" t="s">
        <v>5</v>
      </c>
    </row>
    <row r="10" spans="1:4" x14ac:dyDescent="0.45">
      <c r="A10" s="1" t="s">
        <v>2</v>
      </c>
      <c r="B10" s="1" t="s">
        <v>17</v>
      </c>
      <c r="C10" s="1" t="s">
        <v>18</v>
      </c>
      <c r="D10" s="1" t="s">
        <v>19</v>
      </c>
    </row>
    <row r="11" spans="1:4" x14ac:dyDescent="0.45">
      <c r="A11" s="1" t="s">
        <v>6</v>
      </c>
      <c r="B11" s="1">
        <v>25000</v>
      </c>
      <c r="C11" s="2">
        <f>B11/$B$19</f>
        <v>0.32509752925877761</v>
      </c>
      <c r="D11" s="1">
        <f>ROUND(B11*95%,-2)</f>
        <v>23800</v>
      </c>
    </row>
    <row r="12" spans="1:4" x14ac:dyDescent="0.45">
      <c r="A12" s="1" t="s">
        <v>7</v>
      </c>
      <c r="B12" s="1">
        <v>6500</v>
      </c>
      <c r="C12" s="2">
        <f t="shared" ref="C12:C19" si="0">B12/$B$19</f>
        <v>8.4525357607282178E-2</v>
      </c>
      <c r="D12" s="1">
        <f t="shared" ref="D12:D19" si="1">ROUND(B12*95%,-2)</f>
        <v>6200</v>
      </c>
    </row>
    <row r="13" spans="1:4" x14ac:dyDescent="0.45">
      <c r="A13" s="1" t="s">
        <v>8</v>
      </c>
      <c r="B13" s="1">
        <v>18000</v>
      </c>
      <c r="C13" s="2">
        <f t="shared" si="0"/>
        <v>0.23407022106631989</v>
      </c>
      <c r="D13" s="1">
        <f t="shared" si="1"/>
        <v>17100</v>
      </c>
    </row>
    <row r="14" spans="1:4" x14ac:dyDescent="0.45">
      <c r="A14" s="1" t="s">
        <v>9</v>
      </c>
      <c r="B14" s="1">
        <v>1200</v>
      </c>
      <c r="C14" s="2">
        <f t="shared" si="0"/>
        <v>1.5604681404421327E-2</v>
      </c>
      <c r="D14" s="1">
        <f t="shared" si="1"/>
        <v>1100</v>
      </c>
    </row>
    <row r="15" spans="1:4" x14ac:dyDescent="0.45">
      <c r="A15" s="1" t="s">
        <v>10</v>
      </c>
      <c r="B15" s="1">
        <v>3000</v>
      </c>
      <c r="C15" s="2">
        <f t="shared" si="0"/>
        <v>3.9011703511053319E-2</v>
      </c>
      <c r="D15" s="1">
        <f t="shared" si="1"/>
        <v>2900</v>
      </c>
    </row>
    <row r="16" spans="1:4" x14ac:dyDescent="0.45">
      <c r="A16" s="1" t="s">
        <v>11</v>
      </c>
      <c r="B16" s="1">
        <v>10000</v>
      </c>
      <c r="C16" s="2">
        <f t="shared" si="0"/>
        <v>0.13003901170351106</v>
      </c>
      <c r="D16" s="1">
        <f t="shared" si="1"/>
        <v>9500</v>
      </c>
    </row>
    <row r="17" spans="1:4" x14ac:dyDescent="0.45">
      <c r="A17" s="1" t="s">
        <v>12</v>
      </c>
      <c r="B17" s="1">
        <v>3000</v>
      </c>
      <c r="C17" s="2">
        <f t="shared" si="0"/>
        <v>3.9011703511053319E-2</v>
      </c>
      <c r="D17" s="1">
        <f t="shared" si="1"/>
        <v>2900</v>
      </c>
    </row>
    <row r="18" spans="1:4" x14ac:dyDescent="0.45">
      <c r="A18" s="1" t="s">
        <v>13</v>
      </c>
      <c r="B18" s="1">
        <f>B5*0.15</f>
        <v>10200</v>
      </c>
      <c r="C18" s="2">
        <f t="shared" si="0"/>
        <v>0.13263979193758127</v>
      </c>
      <c r="D18" s="1">
        <f t="shared" si="1"/>
        <v>9700</v>
      </c>
    </row>
    <row r="19" spans="1:4" x14ac:dyDescent="0.45">
      <c r="A19" s="1" t="s">
        <v>14</v>
      </c>
      <c r="B19" s="1">
        <f>SUM(B11:B18)</f>
        <v>76900</v>
      </c>
      <c r="C19" s="2">
        <f t="shared" si="0"/>
        <v>1</v>
      </c>
      <c r="D19" s="1">
        <f t="shared" si="1"/>
        <v>73100</v>
      </c>
    </row>
    <row r="20" spans="1:4" x14ac:dyDescent="0.45">
      <c r="A20" s="1" t="s">
        <v>15</v>
      </c>
      <c r="B20" s="1">
        <f>AVERAGE(B11:B18)</f>
        <v>9612.5</v>
      </c>
    </row>
    <row r="22" spans="1:4" x14ac:dyDescent="0.45">
      <c r="A22" t="s">
        <v>16</v>
      </c>
      <c r="B22">
        <f>B7-B19</f>
        <v>1100</v>
      </c>
      <c r="C22" t="b">
        <f>IF(B19&gt;B7,"使いすぎ！")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琉輝 丸山</dc:creator>
  <cp:lastModifiedBy>琉輝 丸山</cp:lastModifiedBy>
  <dcterms:created xsi:type="dcterms:W3CDTF">2025-04-22T03:05:30Z</dcterms:created>
  <dcterms:modified xsi:type="dcterms:W3CDTF">2025-04-22T03:34:58Z</dcterms:modified>
</cp:coreProperties>
</file>