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_maruyama\Desktop\授業科目\01.コンピューターリテラシー\01.授業制作\エクセル\"/>
    </mc:Choice>
  </mc:AlternateContent>
  <xr:revisionPtr revIDLastSave="0" documentId="8_{3C43F2F5-6AF3-4EDD-A7DE-E9C04E7914A6}" xr6:coauthVersionLast="47" xr6:coauthVersionMax="47" xr10:uidLastSave="{00000000-0000-0000-0000-000000000000}"/>
  <bookViews>
    <workbookView xWindow="-108" yWindow="-108" windowWidth="23256" windowHeight="12456" xr2:uid="{13F0769C-7163-434B-92FE-D17E1FF7FE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B16" i="1"/>
  <c r="D15" i="1"/>
  <c r="B15" i="1"/>
  <c r="E14" i="1"/>
  <c r="D14" i="1"/>
  <c r="B14" i="1"/>
  <c r="D13" i="1"/>
  <c r="B13" i="1"/>
  <c r="I12" i="1"/>
  <c r="E12" i="1"/>
  <c r="C12" i="1"/>
  <c r="F12" i="1" s="1"/>
  <c r="J11" i="1" a="1"/>
  <c r="J11" i="1" s="1"/>
  <c r="I11" i="1"/>
  <c r="E11" i="1"/>
  <c r="C11" i="1"/>
  <c r="F11" i="1" s="1"/>
  <c r="J10" i="1" a="1"/>
  <c r="J10" i="1" s="1"/>
  <c r="I10" i="1"/>
  <c r="E10" i="1"/>
  <c r="C10" i="1"/>
  <c r="F10" i="1" s="1"/>
  <c r="J9" i="1" a="1"/>
  <c r="J9" i="1" s="1"/>
  <c r="I9" i="1"/>
  <c r="E9" i="1"/>
  <c r="C9" i="1"/>
  <c r="F9" i="1" s="1"/>
  <c r="I8" i="1"/>
  <c r="E8" i="1"/>
  <c r="E13" i="1" s="1"/>
  <c r="C8" i="1"/>
  <c r="F8" i="1" s="1"/>
  <c r="J7" i="1" a="1"/>
  <c r="J7" i="1" s="1"/>
  <c r="I7" i="1"/>
  <c r="E7" i="1"/>
  <c r="C7" i="1"/>
  <c r="C16" i="1" s="1"/>
  <c r="J6" i="1" a="1"/>
  <c r="J6" i="1" s="1"/>
  <c r="I6" i="1"/>
  <c r="F6" i="1"/>
  <c r="E6" i="1"/>
  <c r="E16" i="1" s="1"/>
  <c r="C6" i="1"/>
  <c r="C14" i="1" s="1"/>
  <c r="H9" i="1" l="1"/>
  <c r="H12" i="1"/>
  <c r="H10" i="1"/>
  <c r="H11" i="1"/>
  <c r="H8" i="1"/>
  <c r="E15" i="1"/>
  <c r="H6" i="1"/>
  <c r="C13" i="1"/>
  <c r="C15" i="1"/>
  <c r="F7" i="1"/>
  <c r="H7" i="1" l="1"/>
  <c r="F13" i="1"/>
  <c r="F14" i="1"/>
  <c r="F16" i="1"/>
  <c r="F15" i="1"/>
  <c r="G13" i="1" l="1"/>
  <c r="H13" i="1"/>
  <c r="G9" i="1"/>
  <c r="G12" i="1"/>
  <c r="G6" i="1"/>
  <c r="G10" i="1"/>
  <c r="G11" i="1"/>
  <c r="G8" i="1"/>
  <c r="G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<sst xmlns="http://schemas.openxmlformats.org/spreadsheetml/2006/main" count="28" uniqueCount="25">
  <si>
    <t>営業別売上比較表</t>
    <rPh sb="0" eb="3">
      <t>エイギョウベツ</t>
    </rPh>
    <rPh sb="3" eb="5">
      <t>ウリアゲ</t>
    </rPh>
    <rPh sb="5" eb="8">
      <t>ヒカクヒョウ</t>
    </rPh>
    <phoneticPr fontId="2"/>
  </si>
  <si>
    <t>A機種</t>
    <rPh sb="1" eb="3">
      <t>キシュ</t>
    </rPh>
    <phoneticPr fontId="2"/>
  </si>
  <si>
    <t>B機種</t>
    <rPh sb="1" eb="3">
      <t>キシュ</t>
    </rPh>
    <phoneticPr fontId="2"/>
  </si>
  <si>
    <t>営業所</t>
    <rPh sb="0" eb="3">
      <t>エイギョウショ</t>
    </rPh>
    <phoneticPr fontId="2"/>
  </si>
  <si>
    <t>単価</t>
    <rPh sb="0" eb="2">
      <t>タンカ</t>
    </rPh>
    <phoneticPr fontId="2"/>
  </si>
  <si>
    <t>総売上高</t>
    <rPh sb="0" eb="1">
      <t>ソウ</t>
    </rPh>
    <rPh sb="1" eb="3">
      <t>ウリアゲ</t>
    </rPh>
    <rPh sb="3" eb="4">
      <t>ダカ</t>
    </rPh>
    <phoneticPr fontId="2"/>
  </si>
  <si>
    <t>構成比</t>
    <rPh sb="0" eb="2">
      <t>コウセイ</t>
    </rPh>
    <phoneticPr fontId="2"/>
  </si>
  <si>
    <t>次年度
売上目標</t>
    <rPh sb="0" eb="3">
      <t>ジネンド</t>
    </rPh>
    <rPh sb="4" eb="6">
      <t>ウリアゲ</t>
    </rPh>
    <rPh sb="6" eb="8">
      <t>モクヒョウ</t>
    </rPh>
    <phoneticPr fontId="2"/>
  </si>
  <si>
    <t>評価１</t>
    <rPh sb="0" eb="2">
      <t>ヒョウカ</t>
    </rPh>
    <phoneticPr fontId="2"/>
  </si>
  <si>
    <t>評価２</t>
    <rPh sb="0" eb="2">
      <t>ヒョウカ</t>
    </rPh>
    <phoneticPr fontId="2"/>
  </si>
  <si>
    <t>販売個数</t>
    <rPh sb="0" eb="2">
      <t>ハンバイ</t>
    </rPh>
    <rPh sb="2" eb="4">
      <t>コスウ</t>
    </rPh>
    <phoneticPr fontId="2"/>
  </si>
  <si>
    <t>売上高</t>
    <rPh sb="0" eb="3">
      <t>ウリアゲダカ</t>
    </rPh>
    <phoneticPr fontId="2"/>
  </si>
  <si>
    <t>販売数</t>
    <rPh sb="0" eb="3">
      <t>ハンバイスウ</t>
    </rPh>
    <phoneticPr fontId="2"/>
  </si>
  <si>
    <t>渋谷</t>
    <rPh sb="0" eb="2">
      <t>シブヤ</t>
    </rPh>
    <phoneticPr fontId="2"/>
  </si>
  <si>
    <t>新宿</t>
    <rPh sb="0" eb="2">
      <t>シンジュク</t>
    </rPh>
    <phoneticPr fontId="2"/>
  </si>
  <si>
    <t>八王子</t>
    <rPh sb="0" eb="3">
      <t>ハチオウジ</t>
    </rPh>
    <phoneticPr fontId="2"/>
  </si>
  <si>
    <t>ー</t>
    <phoneticPr fontId="2"/>
  </si>
  <si>
    <t>横浜</t>
    <rPh sb="0" eb="2">
      <t>ヨコハマ</t>
    </rPh>
    <phoneticPr fontId="2"/>
  </si>
  <si>
    <t>川崎</t>
    <rPh sb="0" eb="2">
      <t>カワサキ</t>
    </rPh>
    <phoneticPr fontId="2"/>
  </si>
  <si>
    <t>千葉</t>
    <rPh sb="0" eb="2">
      <t>チバ</t>
    </rPh>
    <phoneticPr fontId="2"/>
  </si>
  <si>
    <t>大宮</t>
    <rPh sb="0" eb="2">
      <t>オオミヤ</t>
    </rPh>
    <phoneticPr fontId="2"/>
  </si>
  <si>
    <t>合計</t>
    <rPh sb="0" eb="2">
      <t>ゴウケイ</t>
    </rPh>
    <phoneticPr fontId="2"/>
  </si>
  <si>
    <t>平均</t>
    <rPh sb="0" eb="2">
      <t>ヘイキン</t>
    </rPh>
    <phoneticPr fontId="2"/>
  </si>
  <si>
    <t>最大値</t>
    <rPh sb="0" eb="3">
      <t>サイダイチ</t>
    </rPh>
    <phoneticPr fontId="2"/>
  </si>
  <si>
    <t>最小値</t>
    <rPh sb="0" eb="3">
      <t>サイショウチ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</si>
</sst>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%"/>
  </numFmts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6" fontId="0" fillId="2" borderId="4" xfId="1" applyFont="1" applyFill="1" applyBorder="1" applyAlignment="1">
      <alignment horizontal="center" vertical="center"/>
    </xf>
    <xf numFmtId="6" fontId="0" fillId="2" borderId="6" xfId="1" applyFont="1" applyFill="1" applyBorder="1">
      <alignment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6" fontId="0" fillId="0" borderId="4" xfId="0" applyNumberFormat="1" applyBorder="1">
      <alignment vertical="center"/>
    </xf>
    <xf numFmtId="6" fontId="0" fillId="0" borderId="6" xfId="0" applyNumberFormat="1" applyBorder="1">
      <alignment vertical="center"/>
    </xf>
    <xf numFmtId="6" fontId="0" fillId="0" borderId="11" xfId="0" applyNumberFormat="1" applyBorder="1">
      <alignment vertical="center"/>
    </xf>
    <xf numFmtId="176" fontId="0" fillId="0" borderId="11" xfId="2" applyNumberFormat="1" applyFont="1" applyBorder="1">
      <alignment vertical="center"/>
    </xf>
    <xf numFmtId="6" fontId="0" fillId="0" borderId="10" xfId="1" applyFont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0" fillId="0" borderId="12" xfId="2" applyNumberFormat="1" applyFont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>
      <alignment vertical="center"/>
    </xf>
    <xf numFmtId="6" fontId="0" fillId="3" borderId="4" xfId="0" applyNumberFormat="1" applyFill="1" applyBorder="1">
      <alignment vertical="center"/>
    </xf>
    <xf numFmtId="6" fontId="0" fillId="3" borderId="6" xfId="0" applyNumberFormat="1" applyFill="1" applyBorder="1">
      <alignment vertical="center"/>
    </xf>
    <xf numFmtId="6" fontId="0" fillId="3" borderId="12" xfId="0" applyNumberFormat="1" applyFill="1" applyBorder="1">
      <alignment vertical="center"/>
    </xf>
    <xf numFmtId="176" fontId="0" fillId="3" borderId="15" xfId="2" applyNumberFormat="1" applyFont="1" applyFill="1" applyBorder="1">
      <alignment vertical="center"/>
    </xf>
    <xf numFmtId="6" fontId="0" fillId="3" borderId="14" xfId="1" applyFont="1" applyFill="1" applyBorder="1">
      <alignment vertical="center"/>
    </xf>
    <xf numFmtId="0" fontId="0" fillId="3" borderId="4" xfId="0" applyFill="1" applyBorder="1">
      <alignment vertical="center"/>
    </xf>
    <xf numFmtId="0" fontId="0" fillId="3" borderId="6" xfId="0" applyFill="1" applyBorder="1">
      <alignment vertical="center"/>
    </xf>
    <xf numFmtId="0" fontId="0" fillId="3" borderId="9" xfId="0" applyFill="1" applyBorder="1">
      <alignment vertical="center"/>
    </xf>
    <xf numFmtId="0" fontId="0" fillId="3" borderId="11" xfId="0" applyFill="1" applyBorder="1">
      <alignment vertical="center"/>
    </xf>
    <xf numFmtId="0" fontId="0" fillId="3" borderId="13" xfId="0" applyFill="1" applyBorder="1">
      <alignment vertical="center"/>
    </xf>
    <xf numFmtId="0" fontId="0" fillId="3" borderId="16" xfId="0" applyFill="1" applyBorder="1">
      <alignment vertical="center"/>
    </xf>
    <xf numFmtId="0" fontId="0" fillId="3" borderId="14" xfId="0" applyFill="1" applyBorder="1">
      <alignment vertical="center"/>
    </xf>
    <xf numFmtId="0" fontId="0" fillId="3" borderId="12" xfId="0" applyFill="1" applyBorder="1">
      <alignment vertical="center"/>
    </xf>
  </cellXfs>
  <cellStyles count="3">
    <cellStyle name="パーセント" xfId="2" builtinId="5"/>
    <cellStyle name="通貨" xfId="1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8ACD-5F43-4A60-93B9-0CDAB438311E}">
  <dimension ref="A1:J16"/>
  <sheetViews>
    <sheetView tabSelected="1" workbookViewId="0">
      <selection activeCell="N7" sqref="N7"/>
    </sheetView>
  </sheetViews>
  <sheetFormatPr defaultRowHeight="18" x14ac:dyDescent="0.45"/>
  <sheetData>
    <row r="1" spans="1:10" x14ac:dyDescent="0.45">
      <c r="A1" t="s">
        <v>0</v>
      </c>
    </row>
    <row r="2" spans="1:10" ht="18.600000000000001" thickBot="1" x14ac:dyDescent="0.5"/>
    <row r="3" spans="1:10" ht="18.600000000000001" thickBot="1" x14ac:dyDescent="0.5">
      <c r="B3" s="1" t="s">
        <v>1</v>
      </c>
      <c r="C3" s="2"/>
      <c r="D3" s="1" t="s">
        <v>2</v>
      </c>
      <c r="E3" s="3"/>
    </row>
    <row r="4" spans="1:10" x14ac:dyDescent="0.45">
      <c r="A4" s="4" t="s">
        <v>3</v>
      </c>
      <c r="B4" s="5" t="s">
        <v>4</v>
      </c>
      <c r="C4" s="6">
        <v>29800</v>
      </c>
      <c r="D4" s="5" t="s">
        <v>4</v>
      </c>
      <c r="E4" s="7">
        <v>49800</v>
      </c>
      <c r="F4" s="8" t="s">
        <v>5</v>
      </c>
      <c r="G4" s="8" t="s">
        <v>6</v>
      </c>
      <c r="H4" s="9" t="s">
        <v>7</v>
      </c>
      <c r="I4" s="1" t="s">
        <v>8</v>
      </c>
      <c r="J4" s="3" t="s">
        <v>9</v>
      </c>
    </row>
    <row r="5" spans="1:10" x14ac:dyDescent="0.45">
      <c r="A5" s="4"/>
      <c r="B5" s="5" t="s">
        <v>10</v>
      </c>
      <c r="C5" s="10" t="s">
        <v>11</v>
      </c>
      <c r="D5" s="5" t="s">
        <v>12</v>
      </c>
      <c r="E5" s="11" t="s">
        <v>11</v>
      </c>
      <c r="F5" s="12"/>
      <c r="G5" s="12"/>
      <c r="H5" s="13"/>
      <c r="I5" s="14"/>
      <c r="J5" s="15"/>
    </row>
    <row r="6" spans="1:10" x14ac:dyDescent="0.45">
      <c r="A6" s="16" t="s">
        <v>13</v>
      </c>
      <c r="B6" s="17">
        <v>50</v>
      </c>
      <c r="C6" s="18">
        <f>B6*$C$4</f>
        <v>1490000</v>
      </c>
      <c r="D6" s="17">
        <v>120</v>
      </c>
      <c r="E6" s="19">
        <f>D6*$E$4</f>
        <v>5976000</v>
      </c>
      <c r="F6" s="20">
        <f>C6+E6</f>
        <v>7466000</v>
      </c>
      <c r="G6" s="21">
        <f>F6/$F$13</f>
        <v>0.17353911952024545</v>
      </c>
      <c r="H6" s="22">
        <f>ROUND(F6*115%,-3)</f>
        <v>8586000</v>
      </c>
      <c r="I6" s="23" t="str">
        <f>IF(B6&gt;=50,"*","ー")</f>
        <v>*</v>
      </c>
      <c r="J6" s="24" t="str" cm="1">
        <f t="array" ref="J6">_xlfn.IFS(D6&gt;=100,"* *",D6&gt;80,"ー")</f>
        <v>* *</v>
      </c>
    </row>
    <row r="7" spans="1:10" x14ac:dyDescent="0.45">
      <c r="A7" s="16" t="s">
        <v>14</v>
      </c>
      <c r="B7" s="17">
        <v>51</v>
      </c>
      <c r="C7" s="18">
        <f t="shared" ref="C7:C12" si="0">B7*$C$4</f>
        <v>1519800</v>
      </c>
      <c r="D7" s="17">
        <v>115</v>
      </c>
      <c r="E7" s="19">
        <f t="shared" ref="E7:E12" si="1">D7*$E$4</f>
        <v>5727000</v>
      </c>
      <c r="F7" s="20">
        <f t="shared" ref="F7:F12" si="2">C7+E7</f>
        <v>7246800</v>
      </c>
      <c r="G7" s="21">
        <f t="shared" ref="G7:G13" si="3">F7/$F$13</f>
        <v>0.16844405188043327</v>
      </c>
      <c r="H7" s="22">
        <f t="shared" ref="H7:H13" si="4">ROUND(F7*115%,-3)</f>
        <v>8334000</v>
      </c>
      <c r="I7" s="23" t="str">
        <f t="shared" ref="I7:I12" si="5">IF(B7&gt;=50,"*","ー")</f>
        <v>*</v>
      </c>
      <c r="J7" s="24" t="str" cm="1">
        <f t="array" ref="J7">_xlfn.IFS(D7&gt;=100,"* *",D7&gt;80,"ー")</f>
        <v>* *</v>
      </c>
    </row>
    <row r="8" spans="1:10" x14ac:dyDescent="0.45">
      <c r="A8" s="16" t="s">
        <v>15</v>
      </c>
      <c r="B8" s="17">
        <v>38</v>
      </c>
      <c r="C8" s="18">
        <f t="shared" si="0"/>
        <v>1132400</v>
      </c>
      <c r="D8" s="17">
        <v>78</v>
      </c>
      <c r="E8" s="19">
        <f t="shared" si="1"/>
        <v>3884400</v>
      </c>
      <c r="F8" s="20">
        <f t="shared" si="2"/>
        <v>5016800</v>
      </c>
      <c r="G8" s="21">
        <f t="shared" si="3"/>
        <v>0.11661010645716145</v>
      </c>
      <c r="H8" s="22">
        <f t="shared" si="4"/>
        <v>5769000</v>
      </c>
      <c r="I8" s="23" t="str">
        <f t="shared" si="5"/>
        <v>ー</v>
      </c>
      <c r="J8" s="24" t="s">
        <v>16</v>
      </c>
    </row>
    <row r="9" spans="1:10" x14ac:dyDescent="0.45">
      <c r="A9" s="16" t="s">
        <v>17</v>
      </c>
      <c r="B9" s="17">
        <v>52</v>
      </c>
      <c r="C9" s="18">
        <f t="shared" si="0"/>
        <v>1549600</v>
      </c>
      <c r="D9" s="17">
        <v>105</v>
      </c>
      <c r="E9" s="19">
        <f t="shared" si="1"/>
        <v>5229000</v>
      </c>
      <c r="F9" s="20">
        <f t="shared" si="2"/>
        <v>6778600</v>
      </c>
      <c r="G9" s="21">
        <f t="shared" si="3"/>
        <v>0.15756124773371763</v>
      </c>
      <c r="H9" s="22">
        <f t="shared" si="4"/>
        <v>7795000</v>
      </c>
      <c r="I9" s="23" t="str">
        <f t="shared" si="5"/>
        <v>*</v>
      </c>
      <c r="J9" s="24" t="str" cm="1">
        <f t="array" ref="J9">_xlfn.IFS(D9&gt;=100,"* *",D9&gt;80,"ー")</f>
        <v>* *</v>
      </c>
    </row>
    <row r="10" spans="1:10" x14ac:dyDescent="0.45">
      <c r="A10" s="16" t="s">
        <v>18</v>
      </c>
      <c r="B10" s="17">
        <v>48</v>
      </c>
      <c r="C10" s="18">
        <f t="shared" si="0"/>
        <v>1430400</v>
      </c>
      <c r="D10" s="17">
        <v>90</v>
      </c>
      <c r="E10" s="19">
        <f t="shared" si="1"/>
        <v>4482000</v>
      </c>
      <c r="F10" s="20">
        <f t="shared" si="2"/>
        <v>5912400</v>
      </c>
      <c r="G10" s="21">
        <f t="shared" si="3"/>
        <v>0.13742736274464229</v>
      </c>
      <c r="H10" s="22">
        <f t="shared" si="4"/>
        <v>6799000</v>
      </c>
      <c r="I10" s="23" t="str">
        <f t="shared" si="5"/>
        <v>ー</v>
      </c>
      <c r="J10" s="24" t="str" cm="1">
        <f t="array" ref="J10">_xlfn.IFS(D10&gt;=100,"* *",D10&gt;80,"ー")</f>
        <v>ー</v>
      </c>
    </row>
    <row r="11" spans="1:10" x14ac:dyDescent="0.45">
      <c r="A11" s="16" t="s">
        <v>19</v>
      </c>
      <c r="B11" s="17">
        <v>35</v>
      </c>
      <c r="C11" s="18">
        <f t="shared" si="0"/>
        <v>1043000</v>
      </c>
      <c r="D11" s="17">
        <v>98</v>
      </c>
      <c r="E11" s="19">
        <f t="shared" si="1"/>
        <v>4880400</v>
      </c>
      <c r="F11" s="20">
        <f t="shared" si="2"/>
        <v>5923400</v>
      </c>
      <c r="G11" s="21">
        <f t="shared" si="3"/>
        <v>0.13768304588350147</v>
      </c>
      <c r="H11" s="22">
        <f t="shared" si="4"/>
        <v>6812000</v>
      </c>
      <c r="I11" s="23" t="str">
        <f t="shared" si="5"/>
        <v>ー</v>
      </c>
      <c r="J11" s="24" t="str" cm="1">
        <f t="array" ref="J11">_xlfn.IFS(D11&gt;=100,"* *",D11&gt;80,"ー")</f>
        <v>ー</v>
      </c>
    </row>
    <row r="12" spans="1:10" ht="18.600000000000001" thickBot="1" x14ac:dyDescent="0.5">
      <c r="A12" s="16" t="s">
        <v>20</v>
      </c>
      <c r="B12" s="17">
        <v>40</v>
      </c>
      <c r="C12" s="18">
        <f t="shared" si="0"/>
        <v>1192000</v>
      </c>
      <c r="D12" s="17">
        <v>70</v>
      </c>
      <c r="E12" s="19">
        <f t="shared" si="1"/>
        <v>3486000</v>
      </c>
      <c r="F12" s="20">
        <f t="shared" si="2"/>
        <v>4678000</v>
      </c>
      <c r="G12" s="25">
        <f t="shared" si="3"/>
        <v>0.10873506578029846</v>
      </c>
      <c r="H12" s="22">
        <f t="shared" si="4"/>
        <v>5380000</v>
      </c>
      <c r="I12" s="26" t="str">
        <f t="shared" si="5"/>
        <v>ー</v>
      </c>
      <c r="J12" s="27" t="s">
        <v>16</v>
      </c>
    </row>
    <row r="13" spans="1:10" ht="18.600000000000001" thickBot="1" x14ac:dyDescent="0.5">
      <c r="A13" s="28" t="s">
        <v>21</v>
      </c>
      <c r="B13" s="29">
        <f>SUM(B6:B12)</f>
        <v>314</v>
      </c>
      <c r="C13" s="30">
        <f>SUM(C6:C12)</f>
        <v>9357200</v>
      </c>
      <c r="D13" s="29">
        <f>SUM(D6:D12)</f>
        <v>676</v>
      </c>
      <c r="E13" s="31">
        <f>SUM(E6:E12)</f>
        <v>33664800</v>
      </c>
      <c r="F13" s="32">
        <f>SUM(F6:F12)</f>
        <v>43022000</v>
      </c>
      <c r="G13" s="33">
        <f t="shared" si="3"/>
        <v>1</v>
      </c>
      <c r="H13" s="34">
        <f t="shared" si="4"/>
        <v>49475000</v>
      </c>
    </row>
    <row r="14" spans="1:10" x14ac:dyDescent="0.45">
      <c r="A14" s="28" t="s">
        <v>22</v>
      </c>
      <c r="B14" s="29">
        <f>AVERAGE(B6:B12)</f>
        <v>44.857142857142854</v>
      </c>
      <c r="C14" s="35">
        <f t="shared" ref="C14:F14" si="6">AVERAGE(C6:C12)</f>
        <v>1336742.857142857</v>
      </c>
      <c r="D14" s="29">
        <f t="shared" si="6"/>
        <v>96.571428571428569</v>
      </c>
      <c r="E14" s="36">
        <f t="shared" si="6"/>
        <v>4809257.1428571427</v>
      </c>
      <c r="F14" s="37">
        <f t="shared" si="6"/>
        <v>6146000</v>
      </c>
    </row>
    <row r="15" spans="1:10" x14ac:dyDescent="0.45">
      <c r="A15" s="28" t="s">
        <v>23</v>
      </c>
      <c r="B15" s="29">
        <f>MAX(B6:B12)</f>
        <v>52</v>
      </c>
      <c r="C15" s="35">
        <f t="shared" ref="C15:F15" si="7">MAX(C6:C12)</f>
        <v>1549600</v>
      </c>
      <c r="D15" s="29">
        <f t="shared" si="7"/>
        <v>120</v>
      </c>
      <c r="E15" s="36">
        <f t="shared" si="7"/>
        <v>5976000</v>
      </c>
      <c r="F15" s="38">
        <f t="shared" si="7"/>
        <v>7466000</v>
      </c>
    </row>
    <row r="16" spans="1:10" ht="18.600000000000001" thickBot="1" x14ac:dyDescent="0.5">
      <c r="A16" s="28" t="s">
        <v>24</v>
      </c>
      <c r="B16" s="39">
        <f>MIN(B6:B12)</f>
        <v>35</v>
      </c>
      <c r="C16" s="40">
        <f t="shared" ref="C16:F16" si="8">MIN(C6:C12)</f>
        <v>1043000</v>
      </c>
      <c r="D16" s="39">
        <f t="shared" si="8"/>
        <v>70</v>
      </c>
      <c r="E16" s="41">
        <f t="shared" si="8"/>
        <v>3486000</v>
      </c>
      <c r="F16" s="42">
        <f t="shared" si="8"/>
        <v>4678000</v>
      </c>
    </row>
  </sheetData>
  <mergeCells count="8">
    <mergeCell ref="I4:I5"/>
    <mergeCell ref="J4:J5"/>
    <mergeCell ref="B3:C3"/>
    <mergeCell ref="D3:E3"/>
    <mergeCell ref="A4:A5"/>
    <mergeCell ref="F4:F5"/>
    <mergeCell ref="G4:G5"/>
    <mergeCell ref="H4:H5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琉輝 丸山</dc:creator>
  <cp:lastModifiedBy>琉輝 丸山</cp:lastModifiedBy>
  <dcterms:created xsi:type="dcterms:W3CDTF">2025-04-18T05:38:20Z</dcterms:created>
  <dcterms:modified xsi:type="dcterms:W3CDTF">2025-04-18T05:38:50Z</dcterms:modified>
</cp:coreProperties>
</file>